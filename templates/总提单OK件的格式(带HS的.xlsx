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7DF0B25D-1B9C-466E-A7CF-FFB5BF90E081}" xr6:coauthVersionLast="47" xr6:coauthVersionMax="47" xr10:uidLastSave="{00000000-0000-0000-0000-000000000000}"/>
  <bookViews>
    <workbookView xWindow="11040" yWindow="135" windowWidth="1692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  <c r="F17" i="1"/>
  <c r="F16" i="1"/>
  <c r="D21" i="1"/>
  <c r="D20" i="1"/>
  <c r="D19" i="1"/>
  <c r="D18" i="1"/>
  <c r="D17" i="1"/>
  <c r="D16" i="1"/>
  <c r="I16" i="1"/>
  <c r="I21" i="1"/>
  <c r="I20" i="1"/>
  <c r="I19" i="1"/>
  <c r="I18" i="1"/>
  <c r="I17" i="1"/>
  <c r="G22" i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<sst xmlns="http://schemas.openxmlformats.org/spreadsheetml/2006/main" count="78" uniqueCount="78">
  <si>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</si>
  <si>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</si>
  <si>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</si>
  <si>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</si>
  <si>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</si>
  <si>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</si>
  <si>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</si>
  <si>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</si>
  <si>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</si>
  <si>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</si>
  <si>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</si>
  <si>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</si>
  <si>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</si>
  <si>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</si>
  <si>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</si>
  <si>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</si>
  <si>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</si>
  <si>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</si>
  <si>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</si>
  <si>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</si>
  <si>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</si>
  <si>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</si>
  <si>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</si>
  <si>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</si>
  <si>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</si>
  <si>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</si>
  <si>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</si>
  <si>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</si>
  <si>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</si>
  <si>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</si>
  <si>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</si>
  <si>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</si>
  <si>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</si>
  <si>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</si>
  <si>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</si>
  <si>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</si>
  <si>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</si>
  <si>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</si>
  <si>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</si>
  <si>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</si>
  <si>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</si>
  <si>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</si>
  <si>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</si>
  <si>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</si>
  <si>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</si>
  <si>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</si>
  <si>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</si>
  <si>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</si>
  <si>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</si>
  <si>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</si>
  <si>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</si>
  <si>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</si>
  <si>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</si>
  <si>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</si>
  <si>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</si>
  <si>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</si>
  <si>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</si>
  <si>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</si>
  <si>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</si>
  <si>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</si>
  <si>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</si>
  <si>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</si>
  <si>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</si>
  <si>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</si>
  <si>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</si>
  <si>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</si>
  <si>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</si>
  <si>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</si>
  <si>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</si>
  <si>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</si>
  <si>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</si>
  <si>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</si>
  <si>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</si>
  <si>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</si>
  <si>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</si>
  <si>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{带HS的商品列表1</t>
    </r>
    <r>
      <rPr>
        <b/>
        <sz val="10"/>
        <color rgb="FF000000"/>
        <rFont val="宋体"/>
        <family val="3"/>
        <charset val="134"/>
      </rPr>
      <t>}{带HS的商品列表2}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rgb="FF000000"/>
        <rFont val="宋体"/>
        <family val="3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rgb="FF000000"/>
        <rFont val="宋体"/>
        <family val="3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8" type="noConversion"/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</si>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</sst>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  <font>
      <b/>
      <sz val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0" fillId="0" borderId="0" xfId="0" applyFont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0" fillId="0" borderId="2" xfId="0" applyBorder="1"/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5" fillId="0" borderId="0" xfId="0" applyFont="1" applyAlignment="1">
      <alignment horizontal="left" vertical="top"/>
    </xf>
    <xf numFmtId="0" fontId="5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4" workbookViewId="0">
      <selection activeCell="F15" sqref="F15:F21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12.855468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</cols>
  <sheetData>
    <row r="1" spans="1:9" ht="38.1" customHeight="1" x14ac:dyDescent="0.2">
      <c r="A1" s="33" t="s">
        <v>0</v>
      </c>
      <c r="B1" s="29"/>
      <c r="C1" s="29"/>
      <c r="D1" s="29"/>
      <c r="E1" s="29"/>
      <c r="F1" s="29"/>
      <c r="G1" s="29"/>
      <c r="H1" s="16"/>
    </row>
    <row r="2" spans="1:9" ht="16.5" customHeight="1" x14ac:dyDescent="0.2">
      <c r="A2" s="40" t="s">
        <v>1</v>
      </c>
      <c r="B2" s="31"/>
      <c r="C2" s="31"/>
      <c r="D2" s="31"/>
      <c r="E2" s="31"/>
      <c r="F2" s="39" t="s">
        <v>2</v>
      </c>
      <c r="G2" s="29"/>
      <c r="H2" s="29"/>
    </row>
    <row r="3" spans="1:9" ht="24.75" customHeight="1" x14ac:dyDescent="0.2">
      <c r="A3" s="29"/>
      <c r="B3" s="29"/>
      <c r="C3" s="29"/>
      <c r="D3" s="29"/>
      <c r="E3" s="29"/>
      <c r="F3" s="38" t="s">
        <v>76</v>
      </c>
      <c r="G3" s="29"/>
      <c r="H3" s="29"/>
    </row>
    <row r="4" spans="1:9" ht="36.950000000000003" customHeight="1" x14ac:dyDescent="0.2">
      <c r="A4" s="29"/>
      <c r="B4" s="29"/>
      <c r="C4" s="29"/>
      <c r="D4" s="29"/>
      <c r="E4" s="29"/>
      <c r="F4" s="26" t="s">
        <v>3</v>
      </c>
      <c r="G4" s="27"/>
      <c r="H4" s="3"/>
    </row>
    <row r="5" spans="1:9" ht="29.25" hidden="1" customHeight="1" x14ac:dyDescent="0.2">
      <c r="A5" s="37"/>
      <c r="B5" s="37"/>
      <c r="C5" s="37"/>
      <c r="D5" s="37"/>
      <c r="E5" s="37"/>
      <c r="F5" s="32" t="s">
        <v>4</v>
      </c>
      <c r="G5" s="29"/>
      <c r="H5" s="29"/>
    </row>
    <row r="6" spans="1:9" ht="105.6" customHeight="1" x14ac:dyDescent="0.2">
      <c r="A6" s="45" t="s">
        <v>5</v>
      </c>
      <c r="B6" s="37"/>
      <c r="C6" s="37"/>
      <c r="D6" s="37"/>
      <c r="E6" s="37"/>
      <c r="F6" s="29"/>
      <c r="G6" s="29"/>
      <c r="H6" s="29"/>
    </row>
    <row r="7" spans="1:9" ht="36.75" customHeight="1" x14ac:dyDescent="0.2">
      <c r="A7" s="45" t="s">
        <v>6</v>
      </c>
      <c r="B7" s="37"/>
      <c r="C7" s="37"/>
      <c r="D7" s="37"/>
      <c r="E7" s="37"/>
      <c r="F7" s="29"/>
      <c r="G7" s="29"/>
      <c r="H7" s="29"/>
    </row>
    <row r="8" spans="1:9" ht="15.95" customHeight="1" x14ac:dyDescent="0.2">
      <c r="A8" s="30" t="s">
        <v>7</v>
      </c>
      <c r="B8" s="31"/>
      <c r="C8" s="30" t="s">
        <v>8</v>
      </c>
      <c r="D8" s="31"/>
      <c r="E8" s="17" t="s">
        <v>9</v>
      </c>
      <c r="F8" s="29"/>
      <c r="G8" s="29"/>
      <c r="H8" s="29"/>
    </row>
    <row r="9" spans="1:9" ht="20.100000000000001" customHeight="1" x14ac:dyDescent="0.2">
      <c r="A9" s="36" t="s">
        <v>10</v>
      </c>
      <c r="B9" s="37"/>
      <c r="C9" s="36" t="s">
        <v>11</v>
      </c>
      <c r="D9" s="37"/>
      <c r="E9" s="18" t="s">
        <v>12</v>
      </c>
      <c r="F9" s="29"/>
      <c r="G9" s="29"/>
      <c r="H9" s="29"/>
    </row>
    <row r="10" spans="1:9" ht="21.6" customHeight="1" x14ac:dyDescent="0.2">
      <c r="A10" s="30" t="s">
        <v>13</v>
      </c>
      <c r="B10" s="31"/>
      <c r="C10" s="31"/>
      <c r="D10" s="30" t="s">
        <v>14</v>
      </c>
      <c r="E10" s="31"/>
      <c r="F10" s="35" t="s">
        <v>15</v>
      </c>
      <c r="G10" s="29"/>
      <c r="H10" s="29"/>
    </row>
    <row r="11" spans="1:9" ht="17.25" customHeight="1" x14ac:dyDescent="0.2">
      <c r="A11" s="36" t="s">
        <v>16</v>
      </c>
      <c r="B11" s="37"/>
      <c r="C11" s="37"/>
      <c r="D11" s="49" t="s">
        <v>17</v>
      </c>
      <c r="E11" s="37"/>
      <c r="F11" s="18" t="s">
        <v>18</v>
      </c>
      <c r="G11" s="18"/>
      <c r="H11" s="21"/>
    </row>
    <row r="12" spans="1:9" ht="48" customHeight="1" x14ac:dyDescent="0.2">
      <c r="A12" s="17" t="s">
        <v>19</v>
      </c>
      <c r="B12" s="34" t="s">
        <v>20</v>
      </c>
      <c r="C12" s="31"/>
      <c r="D12" s="34" t="s">
        <v>21</v>
      </c>
      <c r="E12" s="31"/>
      <c r="F12" s="19" t="s">
        <v>22</v>
      </c>
      <c r="G12" s="28" t="s">
        <v>23</v>
      </c>
      <c r="H12" s="29"/>
    </row>
    <row r="13" spans="1:9" ht="343.5" customHeight="1" x14ac:dyDescent="0.2">
      <c r="A13" s="21" t="s">
        <v>24</v>
      </c>
      <c r="B13" s="52" t="str">
        <f>SUM(C15:INDEX(C:C, MATCH(1E+99, C:C)-1)) &amp; "CTNS"</f>
        <v>0CTNS</v>
      </c>
      <c r="C13" s="29"/>
      <c r="D13" s="51" t="s">
        <v>75</v>
      </c>
      <c r="E13" s="29"/>
      <c r="F13" s="20" t="str">
        <f>SUM(E15:INDEX(E:E, MATCH(1E+99, E:E)-1)) &amp; "KGS"</f>
        <v>0KGS</v>
      </c>
      <c r="G13" s="48" t="str">
        <f>SUM(G15:INDEX(G:G, MATCH(1E+99, G:G)-1)) &amp; "CBM"</f>
        <v>0CBM</v>
      </c>
      <c r="H13" s="29"/>
    </row>
    <row r="14" spans="1:9" ht="27" customHeight="1" x14ac:dyDescent="0.2">
      <c r="A14" s="21"/>
      <c r="B14" s="21"/>
      <c r="C14" s="21"/>
      <c r="D14" s="50" t="s">
        <v>25</v>
      </c>
      <c r="E14" s="29"/>
      <c r="F14" s="21"/>
      <c r="G14" s="21"/>
      <c r="H14" s="21"/>
    </row>
    <row r="15" spans="1:9" s="1" customFormat="1" ht="12.75" customHeight="1" x14ac:dyDescent="0.2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25" t="s">
        <v>77</v>
      </c>
    </row>
    <row r="16" spans="1:9" s="1" customFormat="1" ht="12.75" customHeight="1" x14ac:dyDescent="0.2">
      <c r="A16" s="4" t="s">
        <v>34</v>
      </c>
      <c r="B16" s="4" t="s">
        <v>35</v>
      </c>
      <c r="C16" s="23" t="s">
        <v>36</v>
      </c>
      <c r="D16" s="4" t="str">
        <f>IF(A16&lt;&gt;"","CTNS","")</f>
        <v>CTNS</v>
      </c>
      <c r="E16" s="24" t="s">
        <v>37</v>
      </c>
      <c r="F16" s="5" t="str">
        <f>IF(A16&lt;&gt;"","KGS","")</f>
        <v>KGS</v>
      </c>
      <c r="G16" s="24" t="s">
        <v>38</v>
      </c>
      <c r="H16" s="4" t="s">
        <v>39</v>
      </c>
      <c r="I16" s="25" t="str">
        <f>IF(A16&lt;&gt;"",I15,"")</f>
        <v>{并单号1}</v>
      </c>
    </row>
    <row r="17" spans="1:9" s="1" customFormat="1" ht="12.75" customHeight="1" x14ac:dyDescent="0.2">
      <c r="A17" s="4" t="s">
        <v>40</v>
      </c>
      <c r="B17" s="4" t="s">
        <v>41</v>
      </c>
      <c r="C17" s="23" t="s">
        <v>42</v>
      </c>
      <c r="D17" s="4" t="str">
        <f>IF(A17&lt;&gt;"","CTNS","")</f>
        <v>CTNS</v>
      </c>
      <c r="E17" s="24" t="s">
        <v>43</v>
      </c>
      <c r="F17" s="5" t="str">
        <f>IF(A17&lt;&gt;"","KGS","")</f>
        <v>KGS</v>
      </c>
      <c r="G17" s="24" t="s">
        <v>44</v>
      </c>
      <c r="H17" s="4" t="s">
        <v>45</v>
      </c>
      <c r="I17" s="25" t="str">
        <f>IF(A17&lt;&gt;"",I15,"")</f>
        <v>{并单号1}</v>
      </c>
    </row>
    <row r="18" spans="1:9" s="1" customFormat="1" ht="12.75" customHeight="1" x14ac:dyDescent="0.2">
      <c r="A18" s="4" t="s">
        <v>46</v>
      </c>
      <c r="B18" s="4" t="s">
        <v>47</v>
      </c>
      <c r="C18" s="23" t="s">
        <v>48</v>
      </c>
      <c r="D18" s="4" t="str">
        <f>IF(A18&lt;&gt;"","CTNS","")</f>
        <v>CTNS</v>
      </c>
      <c r="E18" s="24" t="s">
        <v>49</v>
      </c>
      <c r="F18" s="5" t="str">
        <f>IF(A18&lt;&gt;"","KGS","")</f>
        <v>KGS</v>
      </c>
      <c r="G18" s="24" t="s">
        <v>50</v>
      </c>
      <c r="H18" s="4" t="s">
        <v>51</v>
      </c>
      <c r="I18" s="25" t="str">
        <f>IF(A18&lt;&gt;"",I15,"")</f>
        <v>{并单号1}</v>
      </c>
    </row>
    <row r="19" spans="1:9" s="1" customFormat="1" ht="12.75" customHeight="1" x14ac:dyDescent="0.2">
      <c r="A19" s="4" t="s">
        <v>52</v>
      </c>
      <c r="B19" s="4" t="s">
        <v>53</v>
      </c>
      <c r="C19" s="23" t="s">
        <v>54</v>
      </c>
      <c r="D19" s="4" t="str">
        <f>IF(A19&lt;&gt;"","CTNS","")</f>
        <v>CTNS</v>
      </c>
      <c r="E19" s="24" t="s">
        <v>55</v>
      </c>
      <c r="F19" s="5" t="str">
        <f>IF(A19&lt;&gt;"","KGS","")</f>
        <v>KGS</v>
      </c>
      <c r="G19" s="24" t="s">
        <v>56</v>
      </c>
      <c r="H19" s="4" t="s">
        <v>57</v>
      </c>
      <c r="I19" s="25" t="str">
        <f>IF(A19&lt;&gt;"",I15,"")</f>
        <v>{并单号1}</v>
      </c>
    </row>
    <row r="20" spans="1:9" s="1" customFormat="1" ht="12.75" customHeight="1" x14ac:dyDescent="0.2">
      <c r="A20" s="4" t="s">
        <v>58</v>
      </c>
      <c r="B20" s="4" t="s">
        <v>59</v>
      </c>
      <c r="C20" s="23" t="s">
        <v>60</v>
      </c>
      <c r="D20" s="4" t="str">
        <f>IF(A20&lt;&gt;"","CTNS","")</f>
        <v>CTNS</v>
      </c>
      <c r="E20" s="24" t="s">
        <v>61</v>
      </c>
      <c r="F20" s="5" t="str">
        <f>IF(A20&lt;&gt;"","KGS","")</f>
        <v>KGS</v>
      </c>
      <c r="G20" s="24" t="s">
        <v>62</v>
      </c>
      <c r="H20" s="4" t="s">
        <v>63</v>
      </c>
      <c r="I20" s="25" t="str">
        <f>IF(A20&lt;&gt;"",I15,"")</f>
        <v>{并单号1}</v>
      </c>
    </row>
    <row r="21" spans="1:9" s="1" customFormat="1" ht="12.75" customHeight="1" x14ac:dyDescent="0.2">
      <c r="A21" s="4" t="s">
        <v>64</v>
      </c>
      <c r="B21" s="4" t="s">
        <v>65</v>
      </c>
      <c r="C21" s="23" t="s">
        <v>66</v>
      </c>
      <c r="D21" s="4" t="str">
        <f>IF(A21&lt;&gt;"","CTNS","")</f>
        <v>CTNS</v>
      </c>
      <c r="E21" s="24" t="s">
        <v>67</v>
      </c>
      <c r="F21" s="5" t="str">
        <f>IF(A21&lt;&gt;"","KGS","")</f>
        <v>KGS</v>
      </c>
      <c r="G21" s="24" t="s">
        <v>68</v>
      </c>
      <c r="H21" s="4" t="s">
        <v>69</v>
      </c>
      <c r="I21" s="25" t="str">
        <f>IF(A21&lt;&gt;"",I15,"")</f>
        <v>{并单号1}</v>
      </c>
    </row>
    <row r="22" spans="1:9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">
      <c r="A26" s="21" t="s">
        <v>70</v>
      </c>
      <c r="B26" s="49" t="s">
        <v>71</v>
      </c>
      <c r="C26" s="37"/>
      <c r="D26" s="37"/>
      <c r="E26" s="37"/>
      <c r="F26" s="37"/>
      <c r="G26" s="37"/>
      <c r="H26" s="22"/>
    </row>
    <row r="27" spans="1:9" ht="24.6" customHeight="1" x14ac:dyDescent="0.2">
      <c r="A27" s="41" t="s">
        <v>72</v>
      </c>
      <c r="B27" s="42"/>
      <c r="C27" s="42"/>
      <c r="D27" s="12"/>
      <c r="E27" s="21"/>
      <c r="F27" s="21"/>
      <c r="G27" s="21"/>
      <c r="H27" s="13"/>
    </row>
    <row r="28" spans="1:9" ht="33.950000000000003" customHeight="1" x14ac:dyDescent="0.2">
      <c r="A28" s="46" t="s">
        <v>73</v>
      </c>
      <c r="B28" s="47"/>
      <c r="C28" s="47"/>
      <c r="D28" s="47"/>
      <c r="E28" s="47"/>
      <c r="F28" s="47"/>
      <c r="G28" s="47"/>
      <c r="H28" s="14"/>
    </row>
    <row r="29" spans="1:9" ht="10.15" customHeight="1" x14ac:dyDescent="0.2">
      <c r="A29" s="43" t="s">
        <v>74</v>
      </c>
      <c r="B29" s="44"/>
      <c r="C29" s="44"/>
      <c r="D29" s="44"/>
      <c r="E29" s="44"/>
      <c r="F29" s="44"/>
      <c r="G29" s="44"/>
      <c r="H29" s="15"/>
    </row>
  </sheetData>
  <mergeCells count="28"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2026-04-16T02:21:19Z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