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80" yWindow="360" windowWidth="14244" windowHeight="15744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OLE_LINK2" localSheetId="0">Sheet1!#REF!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24">
    <font>
      <name val="Arial"/>
      <family val="2"/>
      <color indexed="8"/>
      <sz val="10"/>
    </font>
    <font>
      <name val="Times New Roman"/>
      <family val="1"/>
      <color indexed="8"/>
      <sz val="10"/>
    </font>
    <font>
      <name val="宋体"/>
      <b val="1"/>
      <color indexed="8"/>
      <sz val="16"/>
    </font>
    <font>
      <name val="宋体"/>
      <b val="1"/>
      <color indexed="8"/>
      <sz val="12"/>
    </font>
    <font>
      <name val="宋体"/>
      <color indexed="8"/>
      <sz val="10"/>
    </font>
    <font>
      <name val="Arial"/>
      <family val="2"/>
      <b val="1"/>
      <color indexed="8"/>
      <sz val="10"/>
    </font>
    <font>
      <name val="宋体"/>
      <color indexed="8"/>
      <sz val="9"/>
    </font>
    <font>
      <name val="Times New Roman"/>
      <family val="1"/>
      <b val="1"/>
      <color indexed="8"/>
      <sz val="10"/>
    </font>
    <font>
      <name val="Times New Roman"/>
      <family val="1"/>
      <b val="1"/>
      <sz val="10"/>
    </font>
    <font>
      <name val="Calibri"/>
      <family val="2"/>
      <sz val="10"/>
    </font>
    <font>
      <name val="宋体"/>
      <sz val="10"/>
    </font>
    <font>
      <name val="宋体"/>
      <color indexed="24"/>
      <sz val="8"/>
    </font>
    <font>
      <name val="宋体"/>
      <b val="1"/>
      <color indexed="8"/>
      <sz val="10"/>
    </font>
    <font>
      <name val="宋体"/>
      <sz val="9"/>
    </font>
    <font>
      <name val="宋体"/>
      <b val="1"/>
      <color indexed="10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b val="1"/>
      <color rgb="FF000000"/>
      <sz val="10"/>
    </font>
    <font>
      <name val="Times New Roman"/>
      <family val="1"/>
      <color rgb="FF000000"/>
      <sz val="10"/>
    </font>
    <font>
      <name val="Arial"/>
      <family val="2"/>
      <b val="1"/>
      <color rgb="FF000000"/>
      <sz val="10"/>
    </font>
    <font>
      <name val="宋体"/>
      <color rgb="FFFF0000"/>
      <sz val="10"/>
    </font>
    <font>
      <name val="宋体"/>
      <charset val="134"/>
      <family val="3"/>
      <b val="1"/>
      <color indexed="8"/>
      <sz val="12"/>
    </font>
    <font>
      <name val="宋体"/>
      <charset val="134"/>
      <family val="3"/>
      <b val="1"/>
      <color rgb="FF000000"/>
      <sz val="10"/>
    </font>
    <font>
      <name val="宋体"/>
      <charset val="134"/>
      <family val="3"/>
      <b val="1"/>
      <color rgb="FFFF0000"/>
      <sz val="10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5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/>
    </xf>
    <xf numFmtId="0" fontId="7" fillId="0" borderId="2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/>
    </xf>
    <xf numFmtId="0" fontId="6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left" vertical="top"/>
    </xf>
    <xf numFmtId="0" fontId="16" fillId="0" borderId="0" pivotButton="0" quotePrefix="0" xfId="0"/>
    <xf numFmtId="0" fontId="16" fillId="0" borderId="0" applyAlignment="1" pivotButton="0" quotePrefix="0" xfId="0">
      <alignment horizontal="right" vertical="top"/>
    </xf>
    <xf numFmtId="0" fontId="9" fillId="0" borderId="0" applyAlignment="1" pivotButton="0" quotePrefix="0" xfId="0">
      <alignment vertical="center"/>
    </xf>
    <xf numFmtId="0" fontId="7" fillId="0" borderId="0" pivotButton="0" quotePrefix="0" xfId="0"/>
    <xf numFmtId="0" fontId="7" fillId="0" borderId="0" applyAlignment="1" pivotButton="0" quotePrefix="0" xfId="0">
      <alignment horizontal="right" vertical="top"/>
    </xf>
    <xf numFmtId="0" fontId="10" fillId="0" borderId="0" applyAlignment="1" pivotButton="0" quotePrefix="0" xfId="0">
      <alignment vertical="center" wrapText="1"/>
    </xf>
    <xf numFmtId="0" fontId="0" fillId="0" borderId="0" pivotButton="0" quotePrefix="0" xfId="0"/>
    <xf numFmtId="0" fontId="17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1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21" fillId="0" borderId="3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top" wrapText="1"/>
    </xf>
    <xf numFmtId="0" fontId="18" fillId="0" borderId="2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/>
    </xf>
    <xf numFmtId="0" fontId="7" fillId="0" borderId="2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4" fillId="0" borderId="5" applyAlignment="1" pivotButton="0" quotePrefix="0" xfId="0">
      <alignment horizontal="left" vertical="top"/>
    </xf>
    <xf numFmtId="0" fontId="11" fillId="0" borderId="6" applyAlignment="1" pivotButton="0" quotePrefix="0" xfId="0">
      <alignment horizontal="left" vertical="center"/>
    </xf>
    <xf numFmtId="0" fontId="18" fillId="0" borderId="7" applyAlignment="1" pivotButton="0" quotePrefix="0" xfId="0">
      <alignment horizontal="left" vertical="top" wrapText="1"/>
    </xf>
    <xf numFmtId="0" fontId="1" fillId="0" borderId="7" applyAlignment="1" pivotButton="0" quotePrefix="0" xfId="0">
      <alignment horizontal="left" vertical="top" wrapText="1"/>
    </xf>
    <xf numFmtId="0" fontId="19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/>
    </xf>
    <xf numFmtId="0" fontId="22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6" fillId="0" borderId="7" applyAlignment="1" pivotButton="0" quotePrefix="0" xfId="0">
      <alignment horizontal="left" vertical="center" wrapText="1"/>
    </xf>
    <xf numFmtId="164" fontId="16" fillId="0" borderId="0" pivotButton="0" quotePrefix="0" xfId="0"/>
    <xf numFmtId="164" fontId="16" fillId="0" borderId="0" applyAlignment="1" pivotButton="0" quotePrefix="0" xfId="0">
      <alignment horizontal="right" vertical="top"/>
    </xf>
    <xf numFmtId="0" fontId="0" fillId="0" borderId="1" pivotButton="0" quotePrefix="0" xfId="0"/>
    <xf numFmtId="0" fontId="0" fillId="0" borderId="9" pivotButton="0" quotePrefix="0" xfId="0"/>
    <xf numFmtId="0" fontId="0" fillId="0" borderId="2" pivotButton="0" quotePrefix="0" xfId="0"/>
    <xf numFmtId="164" fontId="16" fillId="0" borderId="0" pivotButton="0" quotePrefix="0" xfId="0"/>
    <xf numFmtId="164" fontId="16" fillId="0" borderId="0" applyAlignment="1" pivotButton="0" quotePrefix="0" xfId="0">
      <alignment horizontal="right" vertical="top"/>
    </xf>
    <xf numFmtId="0" fontId="0" fillId="0" borderId="7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tabSelected="1" topLeftCell="A10" workbookViewId="0">
      <selection activeCell="G15" sqref="G15:G21"/>
    </sheetView>
  </sheetViews>
  <sheetFormatPr baseColWidth="8" defaultColWidth="9.109375" defaultRowHeight="13.2"/>
  <cols>
    <col width="15.5546875" customWidth="1" style="18" min="1" max="1"/>
    <col width="12.5546875" customWidth="1" style="18" min="2" max="2"/>
    <col width="8.44140625" customWidth="1" style="18" min="3" max="3"/>
    <col width="12" customWidth="1" style="18" min="4" max="4"/>
    <col width="12.88671875" customWidth="1" style="18" min="5" max="5"/>
    <col width="13.33203125" customWidth="1" style="18" min="6" max="6"/>
    <col width="11.6640625" customWidth="1" style="18" min="7" max="7"/>
    <col width="13.21875" customWidth="1" style="18" min="8" max="8"/>
    <col width="12" customWidth="1" style="18" min="9" max="9"/>
  </cols>
  <sheetData>
    <row r="1" ht="38.1" customHeight="1" s="18">
      <c r="A1" s="23" t="inlineStr">
        <is>
          <t>浙江猎人供应链管理有限公司
提单OK件</t>
        </is>
      </c>
      <c r="H1" s="23" t="n"/>
    </row>
    <row r="2" ht="16.5" customHeight="1" s="18">
      <c r="A2" s="39" t="inlineStr">
        <is>
      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      </is>
      </c>
      <c r="B2" s="52" t="n"/>
      <c r="C2" s="52" t="n"/>
      <c r="D2" s="52" t="n"/>
      <c r="E2" s="52" t="n"/>
      <c r="F2" s="24" t="inlineStr">
        <is>
          <t>B/L No.(提单号)</t>
        </is>
      </c>
    </row>
    <row r="3" ht="24.75" customHeight="1" s="18">
      <c r="F3" s="26" t="inlineStr">
        <is>
          <t>{提单号1}</t>
        </is>
      </c>
    </row>
    <row r="4" ht="36.9" customHeight="1" s="18">
      <c r="F4" s="28" t="inlineStr">
        <is>
          <t xml:space="preserve">HT No. (业务编号)
</t>
        </is>
      </c>
      <c r="G4" s="53" t="n"/>
      <c r="H4" s="4" t="n"/>
    </row>
    <row r="5" hidden="1" ht="29.25" customHeight="1" s="18">
      <c r="A5" s="54" t="n"/>
      <c r="B5" s="54" t="n"/>
      <c r="C5" s="54" t="n"/>
      <c r="D5" s="54" t="n"/>
      <c r="E5" s="54" t="n"/>
      <c r="F5" s="41" t="inlineStr">
        <is>
          <t xml:space="preserve">
请按此提单OK件确认提单，并速发
提单格式件给我司进行最终确认！
谢谢合作！
FROM:
操作
TEL:
FAX:</t>
        </is>
      </c>
    </row>
    <row r="6" ht="105.6" customHeight="1" s="18">
      <c r="A6" s="29" t="inlineStr">
        <is>
          <t xml:space="preserve">Consignee（收货人）
AMAL ALFARSI CARGO SERVICES LLC  
DUBAI UAE.GREECECLUSTER K12 SHOP S05INTERNATIONAL CITY,DUBAI. 
P.O.BOX:124855
MR SIBIN 0507490122 
TEL:043683987 
EMAIL:ROCKROCK20002003@GMAIL.COM
</t>
        </is>
      </c>
      <c r="B6" s="54" t="n"/>
      <c r="C6" s="54" t="n"/>
      <c r="D6" s="54" t="n"/>
      <c r="E6" s="54" t="n"/>
    </row>
    <row r="7" ht="36.75" customHeight="1" s="18">
      <c r="A7" s="29" t="inlineStr">
        <is>
          <t xml:space="preserve">Notify Party（通知人）
SAME AS CONSIGNEE
</t>
        </is>
      </c>
      <c r="B7" s="54" t="n"/>
      <c r="C7" s="54" t="n"/>
      <c r="D7" s="54" t="n"/>
      <c r="E7" s="54" t="n"/>
    </row>
    <row r="8" ht="15.9" customHeight="1" s="18">
      <c r="A8" s="31" t="inlineStr">
        <is>
          <t>Ocean Vessel(船名)</t>
        </is>
      </c>
      <c r="B8" s="52" t="n"/>
      <c r="C8" s="31" t="inlineStr">
        <is>
          <t>Voy.No.(航次)</t>
        </is>
      </c>
      <c r="D8" s="52" t="n"/>
      <c r="E8" s="31" t="inlineStr">
        <is>
          <t>Port pf Loading(装货港)</t>
        </is>
      </c>
    </row>
    <row r="9" ht="20.1" customHeight="1" s="18">
      <c r="A9" s="32" t="inlineStr">
        <is>
          <t>{船名}</t>
        </is>
      </c>
      <c r="B9" s="54" t="n"/>
      <c r="C9" s="32" t="inlineStr">
        <is>
          <t>{航次}</t>
        </is>
      </c>
      <c r="D9" s="54" t="n"/>
      <c r="E9" s="32" t="inlineStr">
        <is>
          <t>NINGBO</t>
        </is>
      </c>
    </row>
    <row r="10" ht="21.6" customHeight="1" s="18">
      <c r="A10" s="31" t="inlineStr">
        <is>
          <t>Port of Discharge(卸货港)</t>
        </is>
      </c>
      <c r="B10" s="52" t="n"/>
      <c r="C10" s="52" t="n"/>
      <c r="D10" s="31" t="inlineStr">
        <is>
          <t>Place of Delivery(交货地点)</t>
        </is>
      </c>
      <c r="E10" s="52" t="n"/>
      <c r="F10" s="33" t="inlineStr">
        <is>
          <t>Final Destination for the Merchant's
Reference(目的地)</t>
        </is>
      </c>
    </row>
    <row r="11" ht="17.25" customHeight="1" s="18">
      <c r="A11" s="32" t="inlineStr">
        <is>
          <t>{目的港}</t>
        </is>
      </c>
      <c r="B11" s="54" t="n"/>
      <c r="C11" s="54" t="n"/>
      <c r="D11" s="34" t="inlineStr">
        <is>
          <t xml:space="preserve">{目的港}
</t>
        </is>
      </c>
      <c r="E11" s="54" t="n"/>
      <c r="F11" s="32" t="inlineStr">
        <is>
          <t xml:space="preserve"> </t>
        </is>
      </c>
      <c r="G11" s="32" t="n"/>
      <c r="H11" s="44" t="n"/>
    </row>
    <row r="12" ht="48" customHeight="1" s="18">
      <c r="A12" s="31" t="inlineStr">
        <is>
          <t>Marks(唛头)</t>
        </is>
      </c>
      <c r="B12" s="35" t="inlineStr">
        <is>
          <t>No of containers or
P'kgs.(箱数或件数)</t>
        </is>
      </c>
      <c r="C12" s="52" t="n"/>
      <c r="D12" s="35" t="inlineStr">
        <is>
          <t>Kind of packages:Description of Goods
(包装类型与货名)</t>
        </is>
      </c>
      <c r="E12" s="52" t="n"/>
      <c r="F12" s="35" t="inlineStr">
        <is>
          <t>Gross Weight
毛重(公斤)</t>
        </is>
      </c>
      <c r="G12" s="36" t="inlineStr">
        <is>
          <t>Measurement
尺码(立方米)</t>
        </is>
      </c>
    </row>
    <row r="13" ht="343.5" customHeight="1" s="18">
      <c r="A13" s="44" t="inlineStr">
        <is>
          <t>N/M</t>
        </is>
      </c>
      <c r="B13" s="43">
        <f>SUM(C15:INDEX(C:C, MATCH(1E+99, C:C))) &amp; "CTNS"</f>
        <v/>
      </c>
      <c r="D13" s="45" t="inlineStr">
        <is>
          <t>{带HS的商品列表1}{带HS的商品列表2}{带HS的商品列表3}{带HS的商品列表4}{带HS的商品列表5}{带HS的商品列表6}{带HS的商品列表7}</t>
        </is>
      </c>
      <c r="F13" s="43">
        <f>SUM(E15:INDEX(E:E, MATCH(1E+99, E:E))) &amp; "KGS"</f>
        <v/>
      </c>
      <c r="G13" s="44">
        <f>SUM(G15:INDEX(G:G, MATCH(1E+99, G:G))) &amp; "CBM"</f>
        <v/>
      </c>
    </row>
    <row r="14" ht="27" customHeight="1" s="18">
      <c r="A14" s="44" t="n"/>
      <c r="B14" s="44" t="n"/>
      <c r="C14" s="44" t="n"/>
      <c r="D14" s="47" t="inlineStr">
        <is>
          <t xml:space="preserve">申请14天免用箱 提单出SW
</t>
        </is>
      </c>
      <c r="F14" s="44" t="n"/>
      <c r="G14" s="44" t="n"/>
      <c r="H14" s="44" t="n"/>
    </row>
    <row r="15" ht="12.75" customFormat="1" customHeight="1" s="1">
      <c r="A15" s="11" t="inlineStr">
        <is>
          <t>{箱号1}</t>
        </is>
      </c>
      <c r="B15" s="11" t="inlineStr">
        <is>
          <t>{封号1}</t>
        </is>
      </c>
      <c r="C15" s="55" t="inlineStr">
        <is>
          <t>{件数1}</t>
        </is>
      </c>
      <c r="D15" s="11" t="inlineStr">
        <is>
          <t>CTNS</t>
        </is>
      </c>
      <c r="E15" s="56" t="inlineStr">
        <is>
          <t>{毛重1}</t>
        </is>
      </c>
      <c r="F15" s="12" t="inlineStr">
        <is>
          <t>KGS</t>
        </is>
      </c>
      <c r="G15" s="56" t="inlineStr">
        <is>
          <t>{体积1}</t>
        </is>
      </c>
      <c r="H15" s="11" t="inlineStr">
        <is>
          <t>CBM/{箱型1}</t>
        </is>
      </c>
      <c r="I15" s="14" t="inlineStr">
        <is>
          <t>{提单号1}</t>
        </is>
      </c>
    </row>
    <row r="16" ht="12.75" customFormat="1" customHeight="1" s="1">
      <c r="A16" s="11" t="inlineStr">
        <is>
          <t>{箱号2}</t>
        </is>
      </c>
      <c r="B16" s="11" t="inlineStr">
        <is>
          <t>{封号2}</t>
        </is>
      </c>
      <c r="C16" s="55" t="inlineStr">
        <is>
          <t>{件数2}</t>
        </is>
      </c>
      <c r="D16" s="11" t="inlineStr">
        <is>
          <t>CTNS</t>
        </is>
      </c>
      <c r="E16" s="56" t="inlineStr">
        <is>
          <t>{毛重2}</t>
        </is>
      </c>
      <c r="F16" s="12" t="inlineStr">
        <is>
          <t>KGS</t>
        </is>
      </c>
      <c r="G16" s="56" t="inlineStr">
        <is>
          <t>{体积2}</t>
        </is>
      </c>
      <c r="H16" s="11" t="inlineStr">
        <is>
          <t>CBM/{箱型2}</t>
        </is>
      </c>
      <c r="I16" s="14" t="inlineStr">
        <is>
          <t>{提单号2}</t>
        </is>
      </c>
    </row>
    <row r="17" ht="12.75" customFormat="1" customHeight="1" s="1">
      <c r="A17" s="11" t="inlineStr">
        <is>
          <t>{箱号3}</t>
        </is>
      </c>
      <c r="B17" s="11" t="inlineStr">
        <is>
          <t>{封号3}</t>
        </is>
      </c>
      <c r="C17" s="55" t="inlineStr">
        <is>
          <t>{件数3}</t>
        </is>
      </c>
      <c r="D17" s="11" t="inlineStr">
        <is>
          <t>CTNS</t>
        </is>
      </c>
      <c r="E17" s="56" t="inlineStr">
        <is>
          <t>{毛重3}</t>
        </is>
      </c>
      <c r="F17" s="12" t="inlineStr">
        <is>
          <t>KGS</t>
        </is>
      </c>
      <c r="G17" s="56" t="inlineStr">
        <is>
          <t>{体积3}</t>
        </is>
      </c>
      <c r="H17" s="11" t="inlineStr">
        <is>
          <t>CBM/{箱型3}</t>
        </is>
      </c>
      <c r="I17" s="14" t="inlineStr">
        <is>
          <t>{提单号3}</t>
        </is>
      </c>
    </row>
    <row r="18" ht="12.75" customFormat="1" customHeight="1" s="1">
      <c r="A18" s="11" t="inlineStr">
        <is>
          <t>{箱号4}</t>
        </is>
      </c>
      <c r="B18" s="11" t="inlineStr">
        <is>
          <t>{封号4}</t>
        </is>
      </c>
      <c r="C18" s="55" t="inlineStr">
        <is>
          <t>{件数4}</t>
        </is>
      </c>
      <c r="D18" s="11" t="inlineStr">
        <is>
          <t>CTNS</t>
        </is>
      </c>
      <c r="E18" s="56" t="inlineStr">
        <is>
          <t>{毛重4}</t>
        </is>
      </c>
      <c r="F18" s="12" t="inlineStr">
        <is>
          <t>KGS</t>
        </is>
      </c>
      <c r="G18" s="56" t="inlineStr">
        <is>
          <t>{体积4}</t>
        </is>
      </c>
      <c r="H18" s="11" t="inlineStr">
        <is>
          <t>CBM/{箱型4}</t>
        </is>
      </c>
      <c r="I18" s="14" t="inlineStr">
        <is>
          <t>{提单号4}</t>
        </is>
      </c>
    </row>
    <row r="19" ht="12.75" customFormat="1" customHeight="1" s="1">
      <c r="A19" s="11" t="inlineStr">
        <is>
          <t>{箱号5}</t>
        </is>
      </c>
      <c r="B19" s="11" t="inlineStr">
        <is>
          <t>{封号5}</t>
        </is>
      </c>
      <c r="C19" s="55" t="inlineStr">
        <is>
          <t>{件数5}</t>
        </is>
      </c>
      <c r="D19" s="11" t="inlineStr">
        <is>
          <t>CTNS</t>
        </is>
      </c>
      <c r="E19" s="56" t="inlineStr">
        <is>
          <t>{毛重5}</t>
        </is>
      </c>
      <c r="F19" s="12" t="inlineStr">
        <is>
          <t>KGS</t>
        </is>
      </c>
      <c r="G19" s="56" t="inlineStr">
        <is>
          <t>{体积5}</t>
        </is>
      </c>
      <c r="H19" s="11" t="inlineStr">
        <is>
          <t>CBM/{箱型5}</t>
        </is>
      </c>
      <c r="I19" s="14" t="inlineStr">
        <is>
          <t>{提单号5}</t>
        </is>
      </c>
    </row>
    <row r="20" ht="12.75" customFormat="1" customHeight="1" s="1">
      <c r="A20" s="11" t="inlineStr">
        <is>
          <t>{箱号6}</t>
        </is>
      </c>
      <c r="B20" s="11" t="inlineStr">
        <is>
          <t>{封号6}</t>
        </is>
      </c>
      <c r="C20" s="55" t="inlineStr">
        <is>
          <t>{件数6}</t>
        </is>
      </c>
      <c r="D20" s="11" t="inlineStr">
        <is>
          <t>CTNS</t>
        </is>
      </c>
      <c r="E20" s="56" t="inlineStr">
        <is>
          <t>{毛重6}</t>
        </is>
      </c>
      <c r="F20" s="12" t="inlineStr">
        <is>
          <t>KGS</t>
        </is>
      </c>
      <c r="G20" s="56" t="inlineStr">
        <is>
          <t>{体积6}</t>
        </is>
      </c>
      <c r="H20" s="11" t="inlineStr">
        <is>
          <t>CBM/{箱型6}</t>
        </is>
      </c>
      <c r="I20" s="14" t="inlineStr">
        <is>
          <t>{提单号6}</t>
        </is>
      </c>
    </row>
    <row r="21" ht="12.75" customFormat="1" customHeight="1" s="1">
      <c r="A21" s="11" t="inlineStr">
        <is>
          <t>{箱号7}</t>
        </is>
      </c>
      <c r="B21" s="11" t="inlineStr">
        <is>
          <t>{封号7}</t>
        </is>
      </c>
      <c r="C21" s="55" t="inlineStr">
        <is>
          <t>{件数7}</t>
        </is>
      </c>
      <c r="D21" s="11" t="inlineStr">
        <is>
          <t>CTNS</t>
        </is>
      </c>
      <c r="E21" s="56" t="inlineStr">
        <is>
          <t>{毛重7}</t>
        </is>
      </c>
      <c r="F21" s="12" t="inlineStr">
        <is>
          <t>KGS</t>
        </is>
      </c>
      <c r="G21" s="56" t="inlineStr">
        <is>
          <t>{体积7}</t>
        </is>
      </c>
      <c r="H21" s="11" t="inlineStr">
        <is>
          <t>CBM/{箱型7}</t>
        </is>
      </c>
      <c r="I21" s="14" t="inlineStr">
        <is>
          <t>{提单号7}</t>
        </is>
      </c>
    </row>
    <row r="22" ht="12.75" customFormat="1" customHeight="1" s="1">
      <c r="A22" s="11" t="n"/>
      <c r="B22" s="11" t="n"/>
      <c r="C22" s="12">
        <f>SUM(C15:INDEX(C:C, ROW()-1))</f>
        <v/>
      </c>
      <c r="D22" s="11" t="n"/>
      <c r="E22" s="13">
        <f>SUM(E15:INDEX(E:E, ROW()-1))</f>
        <v/>
      </c>
      <c r="F22" s="12" t="n"/>
      <c r="G22" s="13">
        <f>SUM(G15:INDEX(G:G, ROW()-1))</f>
        <v/>
      </c>
      <c r="H22" s="11" t="n"/>
      <c r="I22" s="14" t="n"/>
    </row>
    <row r="23" ht="12.75" customFormat="1" customHeight="1" s="2">
      <c r="A23" s="44" t="n"/>
      <c r="B23" s="44" t="n"/>
      <c r="C23" s="15" t="n"/>
      <c r="D23" s="44" t="n"/>
      <c r="E23" s="16" t="n"/>
      <c r="F23" s="15" t="n"/>
      <c r="G23" s="16" t="n"/>
      <c r="H23" s="44" t="n"/>
      <c r="I23" s="17" t="n"/>
    </row>
    <row r="24" ht="12.75" customFormat="1" customHeight="1" s="2">
      <c r="A24" s="44" t="n"/>
      <c r="B24" s="44" t="n"/>
      <c r="C24" s="15" t="n"/>
      <c r="D24" s="44" t="n"/>
      <c r="E24" s="16" t="n"/>
      <c r="F24" s="15" t="n"/>
      <c r="G24" s="16" t="n"/>
      <c r="H24" s="44" t="n"/>
      <c r="I24" s="17" t="n"/>
    </row>
    <row r="25" ht="12.75" customFormat="1" customHeight="1" s="2">
      <c r="A25" s="44" t="n"/>
      <c r="B25" s="44" t="n"/>
      <c r="C25" s="15" t="n"/>
      <c r="D25" s="44" t="n"/>
      <c r="E25" s="16" t="n"/>
      <c r="F25" s="15" t="n"/>
      <c r="G25" s="16" t="n"/>
      <c r="H25" s="44" t="n"/>
    </row>
    <row r="26" ht="52.5" customHeight="1" s="18">
      <c r="A26" s="44" t="inlineStr">
        <is>
          <t>ON BOARD</t>
        </is>
      </c>
      <c r="B26" s="34" t="inlineStr">
        <is>
          <t xml:space="preserve">FREIGHT PREPAID
SHIPPER LOAD,COUNT ＆ SEAL.
CY-CY </t>
        </is>
      </c>
      <c r="C26" s="54" t="n"/>
      <c r="D26" s="54" t="n"/>
      <c r="E26" s="54" t="n"/>
      <c r="F26" s="54" t="n"/>
      <c r="G26" s="54" t="n"/>
      <c r="H26" s="46" t="n"/>
    </row>
    <row r="27" ht="24.6" customHeight="1" s="18">
      <c r="A27" s="49" t="inlineStr">
        <is>
          <t>Total Number of Containers or Packages
(In Words)集装箱或件数合计（大写）</t>
        </is>
      </c>
      <c r="B27" s="57" t="n"/>
      <c r="C27" s="57" t="n"/>
      <c r="D27" s="19" t="n"/>
      <c r="E27" s="44" t="n"/>
      <c r="F27" s="44" t="n"/>
      <c r="G27" s="44" t="n"/>
      <c r="H27" s="20" t="n"/>
    </row>
    <row r="28" ht="33.9" customHeight="1" s="18">
      <c r="A28" s="37" t="inlineStr">
        <is>
          <t>No. of Original B(s)/L(正本提单份数)          打印人:  报表时间:2014-5-7 16:55:16</t>
        </is>
      </c>
      <c r="B28" s="58" t="n"/>
      <c r="C28" s="58" t="n"/>
      <c r="D28" s="58" t="n"/>
      <c r="E28" s="58" t="n"/>
      <c r="F28" s="58" t="n"/>
      <c r="G28" s="58" t="n"/>
      <c r="H28" s="21" t="n"/>
    </row>
    <row r="29" ht="10.2" customHeight="1" s="18">
      <c r="A29" s="38" t="inlineStr">
        <is>
          <t>远通软件G3soft印制:www.g3soft.com      Tel:86-0574-87812201</t>
        </is>
      </c>
      <c r="B29" s="59" t="n"/>
      <c r="C29" s="59" t="n"/>
      <c r="D29" s="59" t="n"/>
      <c r="E29" s="59" t="n"/>
      <c r="F29" s="59" t="n"/>
      <c r="G29" s="59" t="n"/>
      <c r="H29" s="22" t="n"/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</sheetData>
  <mergeCells count="28">
    <mergeCell ref="F4:G4"/>
    <mergeCell ref="G12:H12"/>
    <mergeCell ref="D10:E10"/>
    <mergeCell ref="F5:H9"/>
    <mergeCell ref="A27:C27"/>
    <mergeCell ref="F2:H2"/>
    <mergeCell ref="A29:G29"/>
    <mergeCell ref="A6:E6"/>
    <mergeCell ref="A28:G28"/>
    <mergeCell ref="B12:C12"/>
    <mergeCell ref="A2:E5"/>
    <mergeCell ref="D13:E13"/>
    <mergeCell ref="D11:E11"/>
    <mergeCell ref="A7:E7"/>
    <mergeCell ref="C9:D9"/>
    <mergeCell ref="G13:H13"/>
    <mergeCell ref="B13:C13"/>
    <mergeCell ref="A10:C10"/>
    <mergeCell ref="A1:G1"/>
    <mergeCell ref="B26:G26"/>
    <mergeCell ref="A8:B8"/>
    <mergeCell ref="C8:D8"/>
    <mergeCell ref="D12:E12"/>
    <mergeCell ref="F10:H10"/>
    <mergeCell ref="A11:C11"/>
    <mergeCell ref="D14:E14"/>
    <mergeCell ref="A9:B9"/>
    <mergeCell ref="F3:H3"/>
  </mergeCells>
  <pageMargins left="0.02" right="0.02" top="0.59" bottom="0.59" header="0" footer="0"/>
  <pageSetup orientation="portrait" paperSize="9" scale="83"/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微软用户</dc:creator>
  <dcterms:created xmlns:dcterms="http://purl.org/dc/terms/" xmlns:xsi="http://www.w3.org/2001/XMLSchema-instance" xsi:type="dcterms:W3CDTF">2015-09-25T06:03:26Z</dcterms:created>
  <dcterms:modified xmlns:dcterms="http://purl.org/dc/terms/" xmlns:xsi="http://www.w3.org/2001/XMLSchema-instance" xsi:type="dcterms:W3CDTF">2026-04-15T15:20:24Z</dcterms:modified>
  <cp:lastModifiedBy>shuying jin</cp:lastModifiedBy>
  <cp:revision>1</cp:revision>
  <cp:lastPrinted>2018-03-01T07:08:13Z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89ECEEE83F2945F68895065B2C80D619_12</vt:lpwstr>
  </property>
  <property name="CalculationRule" fmtid="{D5CDD505-2E9C-101B-9397-08002B2CF9AE}" pid="4">
    <vt:r8 xmlns:vt="http://schemas.openxmlformats.org/officeDocument/2006/docPropsVTypes">0</vt:r8>
  </property>
</Properties>
</file>